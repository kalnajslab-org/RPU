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lnajs/Documents/Strateole/RACHuTS/Profiling Unit/"/>
    </mc:Choice>
  </mc:AlternateContent>
  <xr:revisionPtr revIDLastSave="0" documentId="13_ncr:1_{46D2F964-9093-BE47-AE80-88755B94752B}" xr6:coauthVersionLast="47" xr6:coauthVersionMax="47" xr10:uidLastSave="{00000000-0000-0000-0000-000000000000}"/>
  <bookViews>
    <workbookView xWindow="93540" yWindow="-4220" windowWidth="27640" windowHeight="16940" xr2:uid="{8C1900F0-E409-9D4B-9654-F9E6DDB357E2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F45" i="1" s="1"/>
  <c r="D47" i="1"/>
  <c r="F47" i="1" s="1"/>
  <c r="D10" i="1"/>
  <c r="F10" i="1" s="1"/>
  <c r="D41" i="1"/>
  <c r="F41" i="1" s="1"/>
  <c r="D26" i="1"/>
  <c r="F26" i="1" s="1"/>
  <c r="F43" i="1"/>
  <c r="F42" i="1"/>
  <c r="D46" i="1"/>
  <c r="F46" i="1" s="1"/>
  <c r="D44" i="1"/>
  <c r="F44" i="1" s="1"/>
  <c r="D43" i="1"/>
  <c r="D42" i="1"/>
  <c r="D40" i="1"/>
  <c r="F40" i="1" s="1"/>
  <c r="D39" i="1"/>
  <c r="F39" i="1" s="1"/>
  <c r="D38" i="1"/>
  <c r="F38" i="1" s="1"/>
  <c r="D37" i="1"/>
  <c r="F37" i="1" s="1"/>
  <c r="D28" i="1"/>
  <c r="F28" i="1" s="1"/>
  <c r="D6" i="1"/>
  <c r="F6" i="1" s="1"/>
  <c r="D7" i="1"/>
  <c r="F7" i="1" s="1"/>
  <c r="D8" i="1"/>
  <c r="F8" i="1" s="1"/>
  <c r="D9" i="1"/>
  <c r="F9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7" i="1"/>
  <c r="F27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5" i="1"/>
  <c r="F5" i="1" s="1"/>
  <c r="F55" i="1" l="1"/>
  <c r="F56" i="1" s="1"/>
  <c r="B3" i="1" s="1"/>
</calcChain>
</file>

<file path=xl/sharedStrings.xml><?xml version="1.0" encoding="utf-8"?>
<sst xmlns="http://schemas.openxmlformats.org/spreadsheetml/2006/main" count="64" uniqueCount="61">
  <si>
    <t>Teensy 4.1 Ram</t>
  </si>
  <si>
    <t>512 KB</t>
  </si>
  <si>
    <t>GPS</t>
  </si>
  <si>
    <t>Altitude</t>
  </si>
  <si>
    <t>Bits</t>
  </si>
  <si>
    <t>Bytes</t>
  </si>
  <si>
    <t>Latitude</t>
  </si>
  <si>
    <r>
      <t>gps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altitude</t>
    </r>
    <r>
      <rPr>
        <sz val="12"/>
        <color rgb="FFCCCCCC"/>
        <rFont val="Menlo"/>
        <family val="2"/>
      </rPr>
      <t>.</t>
    </r>
    <r>
      <rPr>
        <sz val="12"/>
        <color rgb="FFDCDCAA"/>
        <rFont val="Menlo"/>
        <family val="2"/>
      </rPr>
      <t>meters</t>
    </r>
    <r>
      <rPr>
        <sz val="12"/>
        <color rgb="FFCCCCCC"/>
        <rFont val="Menlo"/>
        <family val="2"/>
      </rPr>
      <t>()</t>
    </r>
  </si>
  <si>
    <r>
      <t>gps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location</t>
    </r>
    <r>
      <rPr>
        <sz val="12"/>
        <color rgb="FFCCCCCC"/>
        <rFont val="Menlo"/>
        <family val="2"/>
      </rPr>
      <t>.</t>
    </r>
    <r>
      <rPr>
        <sz val="12"/>
        <color rgb="FFDCDCAA"/>
        <rFont val="Menlo"/>
        <family val="2"/>
      </rPr>
      <t>lat</t>
    </r>
    <r>
      <rPr>
        <sz val="12"/>
        <color rgb="FFCCCCCC"/>
        <rFont val="Menlo"/>
        <family val="2"/>
      </rPr>
      <t xml:space="preserve">() 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GPSStartLat</t>
    </r>
    <r>
      <rPr>
        <sz val="12"/>
        <color rgb="FFCCCCCC"/>
        <rFont val="Menlo"/>
        <family val="2"/>
      </rPr>
      <t>)</t>
    </r>
    <r>
      <rPr>
        <sz val="12"/>
        <color rgb="FFD4D4D4"/>
        <rFont val="Menlo"/>
        <family val="2"/>
      </rPr>
      <t>*</t>
    </r>
    <r>
      <rPr>
        <sz val="12"/>
        <color rgb="FFB5CEA8"/>
        <rFont val="Menlo"/>
        <family val="2"/>
      </rPr>
      <t>50000.0</t>
    </r>
  </si>
  <si>
    <t>Longitude</t>
  </si>
  <si>
    <r>
      <rPr>
        <sz val="12"/>
        <color rgb="FF9CDCFE"/>
        <rFont val="Menlo"/>
        <family val="2"/>
      </rPr>
      <t>gps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location</t>
    </r>
    <r>
      <rPr>
        <sz val="12"/>
        <color rgb="FFCCCCCC"/>
        <rFont val="Menlo"/>
        <family val="2"/>
      </rPr>
      <t>.</t>
    </r>
    <r>
      <rPr>
        <sz val="12"/>
        <color rgb="FFDCDCAA"/>
        <rFont val="Menlo"/>
        <family val="2"/>
      </rPr>
      <t>lng</t>
    </r>
    <r>
      <rPr>
        <sz val="12"/>
        <color rgb="FFCCCCCC"/>
        <rFont val="Menlo"/>
        <family val="2"/>
      </rPr>
      <t xml:space="preserve">() 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GPSStartLon</t>
    </r>
    <r>
      <rPr>
        <sz val="12"/>
        <color rgb="FFCCCCCC"/>
        <rFont val="Menlo"/>
        <family val="2"/>
      </rPr>
      <t>)</t>
    </r>
    <r>
      <rPr>
        <sz val="12"/>
        <color rgb="FFD4D4D4"/>
        <rFont val="Menlo"/>
        <family val="2"/>
      </rPr>
      <t>*</t>
    </r>
    <r>
      <rPr>
        <sz val="12"/>
        <color rgb="FFB5CEA8"/>
        <rFont val="Menlo"/>
        <family val="2"/>
      </rPr>
      <t>50000.0</t>
    </r>
  </si>
  <si>
    <t>Time</t>
  </si>
  <si>
    <r>
      <t>now</t>
    </r>
    <r>
      <rPr>
        <sz val="12"/>
        <color rgb="FFCCCCCC"/>
        <rFont val="Menlo"/>
        <family val="2"/>
      </rPr>
      <t xml:space="preserve">() 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GPSStartTime</t>
    </r>
  </si>
  <si>
    <t>Satellites</t>
  </si>
  <si>
    <t>ROPC</t>
  </si>
  <si>
    <t>300nm</t>
  </si>
  <si>
    <t>500nm</t>
  </si>
  <si>
    <t>Effective bytes</t>
  </si>
  <si>
    <t>700nm</t>
  </si>
  <si>
    <t>1000nm</t>
  </si>
  <si>
    <t>2000nm</t>
  </si>
  <si>
    <t>3000nm</t>
  </si>
  <si>
    <t>5000nm</t>
  </si>
  <si>
    <t>10000nm</t>
  </si>
  <si>
    <t>TSEN</t>
  </si>
  <si>
    <t>Temperature</t>
  </si>
  <si>
    <t>Pressure</t>
  </si>
  <si>
    <t>Temperature of Pressure</t>
  </si>
  <si>
    <t>RSS421</t>
  </si>
  <si>
    <t>RH</t>
  </si>
  <si>
    <t>Temperature of RH</t>
  </si>
  <si>
    <t>TDLAS</t>
  </si>
  <si>
    <t>TDLAS_bkg</t>
  </si>
  <si>
    <t>TDLAS_peak</t>
  </si>
  <si>
    <t>TDLAS_ratio</t>
  </si>
  <si>
    <t>VMR_ave</t>
  </si>
  <si>
    <t>TDLAS_spectra_val1</t>
  </si>
  <si>
    <t>TDLAS_spectra_val3</t>
  </si>
  <si>
    <t>TDLAS_spectra_val4</t>
  </si>
  <si>
    <t>HK</t>
  </si>
  <si>
    <t>I_TSEN</t>
  </si>
  <si>
    <t>I_ROPC</t>
  </si>
  <si>
    <t>I_PUMP</t>
  </si>
  <si>
    <t>V_Batt</t>
  </si>
  <si>
    <t>I_TDLAS</t>
  </si>
  <si>
    <t>T_Batt</t>
  </si>
  <si>
    <t>T_Pump</t>
  </si>
  <si>
    <t>T_PCB</t>
  </si>
  <si>
    <t>Heater_stat</t>
  </si>
  <si>
    <t>RSS421_mag/hk</t>
  </si>
  <si>
    <t>Total_per_frame</t>
  </si>
  <si>
    <t>Total_per_profile</t>
  </si>
  <si>
    <t>Records per Profile</t>
  </si>
  <si>
    <t>Total Memory Use</t>
  </si>
  <si>
    <t>V_5v</t>
  </si>
  <si>
    <t>Age of Fix</t>
  </si>
  <si>
    <t>Round Robbin Index</t>
  </si>
  <si>
    <t>V_BEMF</t>
  </si>
  <si>
    <t>Period (s)</t>
  </si>
  <si>
    <t>KB</t>
  </si>
  <si>
    <t>VMR_min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</si>
</sst>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CCCCC"/>
      <name val="Menlo"/>
      <family val="2"/>
    </font>
    <font>
      <sz val="12"/>
      <color rgb="FF9CDCFE"/>
      <name val="Menlo"/>
      <family val="2"/>
    </font>
    <font>
      <sz val="12"/>
      <color rgb="FFDCDCAA"/>
      <name val="Menlo"/>
      <family val="2"/>
    </font>
    <font>
      <sz val="12"/>
      <color rgb="FFD4D4D4"/>
      <name val="Menlo"/>
      <family val="2"/>
    </font>
    <font>
      <sz val="12"/>
      <color rgb="FFB5CEA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062B-F1A5-9947-B9A8-64E900D30B5F}">
  <dimension ref="A1:G56"/>
  <sheetViews>
    <sheetView tabSelected="1" topLeftCell="A14" workbookViewId="0">
      <selection activeCell="G31" sqref="G31"/>
    </sheetView>
  </sheetViews>
  <sheetFormatPr baseColWidth="10" defaultRowHeight="16" x14ac:dyDescent="0.2"/>
  <cols>
    <col min="1" max="1" width="17" customWidth="1"/>
    <col min="2" max="2" width="25.33203125" customWidth="1"/>
  </cols>
  <sheetData>
    <row r="1" spans="1:7" x14ac:dyDescent="0.2">
      <c r="A1" t="s">
        <v>0</v>
      </c>
      <c r="B1" t="s">
        <v>1</v>
      </c>
    </row>
    <row r="2" spans="1:7" x14ac:dyDescent="0.2">
      <c r="A2" t="s">
        <v>52</v>
      </c>
      <c r="B2">
        <v>5000</v>
      </c>
    </row>
    <row r="3" spans="1:7" x14ac:dyDescent="0.2">
      <c r="A3" t="s">
        <v>53</v>
      </c>
      <c r="B3">
        <f>F56/1000</f>
        <v>190</v>
      </c>
      <c r="C3" t="s">
        <v>59</v>
      </c>
    </row>
    <row r="4" spans="1:7" x14ac:dyDescent="0.2">
      <c r="C4" s="4" t="s">
        <v>4</v>
      </c>
      <c r="D4" s="4" t="s">
        <v>5</v>
      </c>
      <c r="E4" s="4" t="s">
        <v>58</v>
      </c>
      <c r="F4" s="4" t="s">
        <v>17</v>
      </c>
    </row>
    <row r="5" spans="1:7" x14ac:dyDescent="0.2">
      <c r="A5" t="s">
        <v>2</v>
      </c>
      <c r="B5" t="s">
        <v>11</v>
      </c>
      <c r="C5">
        <v>16</v>
      </c>
      <c r="D5">
        <f>C5/8</f>
        <v>2</v>
      </c>
      <c r="E5">
        <v>1</v>
      </c>
      <c r="F5">
        <f>D5/E5</f>
        <v>2</v>
      </c>
      <c r="G5" s="3" t="s">
        <v>12</v>
      </c>
    </row>
    <row r="6" spans="1:7" x14ac:dyDescent="0.2">
      <c r="B6" t="s">
        <v>3</v>
      </c>
      <c r="C6">
        <v>16</v>
      </c>
      <c r="D6">
        <f t="shared" ref="D6:D47" si="0">C6/8</f>
        <v>2</v>
      </c>
      <c r="E6">
        <v>1</v>
      </c>
      <c r="F6">
        <f t="shared" ref="F6:F47" si="1">D6/E6</f>
        <v>2</v>
      </c>
      <c r="G6" s="1" t="s">
        <v>7</v>
      </c>
    </row>
    <row r="7" spans="1:7" x14ac:dyDescent="0.2">
      <c r="B7" t="s">
        <v>6</v>
      </c>
      <c r="C7">
        <v>16</v>
      </c>
      <c r="D7">
        <f t="shared" si="0"/>
        <v>2</v>
      </c>
      <c r="E7">
        <v>1</v>
      </c>
      <c r="F7">
        <f t="shared" si="1"/>
        <v>2</v>
      </c>
      <c r="G7" s="1" t="s">
        <v>8</v>
      </c>
    </row>
    <row r="8" spans="1:7" x14ac:dyDescent="0.2">
      <c r="B8" t="s">
        <v>9</v>
      </c>
      <c r="C8">
        <v>16</v>
      </c>
      <c r="D8">
        <f t="shared" si="0"/>
        <v>2</v>
      </c>
      <c r="E8">
        <v>1</v>
      </c>
      <c r="F8">
        <f t="shared" si="1"/>
        <v>2</v>
      </c>
      <c r="G8" s="2" t="s">
        <v>10</v>
      </c>
    </row>
    <row r="9" spans="1:7" x14ac:dyDescent="0.2">
      <c r="B9" t="s">
        <v>13</v>
      </c>
      <c r="C9">
        <v>4</v>
      </c>
      <c r="D9">
        <f t="shared" si="0"/>
        <v>0.5</v>
      </c>
      <c r="E9">
        <v>1</v>
      </c>
      <c r="F9">
        <f t="shared" si="1"/>
        <v>0.5</v>
      </c>
    </row>
    <row r="10" spans="1:7" x14ac:dyDescent="0.2">
      <c r="B10" t="s">
        <v>55</v>
      </c>
      <c r="C10">
        <v>4</v>
      </c>
      <c r="D10">
        <f t="shared" si="0"/>
        <v>0.5</v>
      </c>
      <c r="E10">
        <v>1</v>
      </c>
      <c r="F10">
        <f t="shared" si="1"/>
        <v>0.5</v>
      </c>
    </row>
    <row r="11" spans="1:7" x14ac:dyDescent="0.2">
      <c r="A11" t="s">
        <v>14</v>
      </c>
      <c r="B11" t="s">
        <v>15</v>
      </c>
      <c r="C11">
        <v>16</v>
      </c>
      <c r="D11">
        <f t="shared" si="0"/>
        <v>2</v>
      </c>
      <c r="E11">
        <v>1</v>
      </c>
      <c r="F11">
        <f t="shared" si="1"/>
        <v>2</v>
      </c>
    </row>
    <row r="12" spans="1:7" x14ac:dyDescent="0.2">
      <c r="B12" t="s">
        <v>16</v>
      </c>
      <c r="C12">
        <v>16</v>
      </c>
      <c r="D12">
        <f t="shared" si="0"/>
        <v>2</v>
      </c>
      <c r="E12">
        <v>8</v>
      </c>
      <c r="F12">
        <f t="shared" si="1"/>
        <v>0.25</v>
      </c>
    </row>
    <row r="13" spans="1:7" x14ac:dyDescent="0.2">
      <c r="B13" t="s">
        <v>18</v>
      </c>
      <c r="C13">
        <v>16</v>
      </c>
      <c r="D13">
        <f t="shared" si="0"/>
        <v>2</v>
      </c>
      <c r="E13">
        <v>8</v>
      </c>
      <c r="F13">
        <f t="shared" si="1"/>
        <v>0.25</v>
      </c>
    </row>
    <row r="14" spans="1:7" x14ac:dyDescent="0.2">
      <c r="B14" t="s">
        <v>19</v>
      </c>
      <c r="C14">
        <v>16</v>
      </c>
      <c r="D14">
        <f t="shared" si="0"/>
        <v>2</v>
      </c>
      <c r="E14">
        <v>8</v>
      </c>
      <c r="F14">
        <f t="shared" si="1"/>
        <v>0.25</v>
      </c>
    </row>
    <row r="15" spans="1:7" x14ac:dyDescent="0.2">
      <c r="B15" t="s">
        <v>20</v>
      </c>
      <c r="C15">
        <v>16</v>
      </c>
      <c r="D15">
        <f t="shared" si="0"/>
        <v>2</v>
      </c>
      <c r="E15">
        <v>1</v>
      </c>
      <c r="F15">
        <f t="shared" si="1"/>
        <v>2</v>
      </c>
    </row>
    <row r="16" spans="1:7" x14ac:dyDescent="0.2">
      <c r="B16" t="s">
        <v>21</v>
      </c>
      <c r="C16">
        <v>16</v>
      </c>
      <c r="D16">
        <f t="shared" si="0"/>
        <v>2</v>
      </c>
      <c r="E16">
        <v>8</v>
      </c>
      <c r="F16">
        <f t="shared" si="1"/>
        <v>0.25</v>
      </c>
    </row>
    <row r="17" spans="1:6" x14ac:dyDescent="0.2">
      <c r="B17" t="s">
        <v>22</v>
      </c>
      <c r="C17">
        <v>16</v>
      </c>
      <c r="D17">
        <f t="shared" si="0"/>
        <v>2</v>
      </c>
      <c r="E17">
        <v>8</v>
      </c>
      <c r="F17">
        <f t="shared" si="1"/>
        <v>0.25</v>
      </c>
    </row>
    <row r="18" spans="1:6" x14ac:dyDescent="0.2">
      <c r="B18" t="s">
        <v>23</v>
      </c>
      <c r="C18">
        <v>16</v>
      </c>
      <c r="D18">
        <f t="shared" si="0"/>
        <v>2</v>
      </c>
      <c r="E18">
        <v>8</v>
      </c>
      <c r="F18">
        <f t="shared" si="1"/>
        <v>0.25</v>
      </c>
    </row>
    <row r="19" spans="1:6" x14ac:dyDescent="0.2">
      <c r="A19" t="s">
        <v>24</v>
      </c>
      <c r="B19" t="s">
        <v>25</v>
      </c>
      <c r="C19">
        <v>16</v>
      </c>
      <c r="D19">
        <f t="shared" si="0"/>
        <v>2</v>
      </c>
      <c r="E19">
        <v>1</v>
      </c>
      <c r="F19">
        <f t="shared" si="1"/>
        <v>2</v>
      </c>
    </row>
    <row r="20" spans="1:6" x14ac:dyDescent="0.2">
      <c r="B20" t="s">
        <v>26</v>
      </c>
      <c r="C20">
        <v>16</v>
      </c>
      <c r="D20">
        <f t="shared" si="0"/>
        <v>2</v>
      </c>
      <c r="E20">
        <v>1</v>
      </c>
      <c r="F20">
        <f t="shared" si="1"/>
        <v>2</v>
      </c>
    </row>
    <row r="21" spans="1:6" x14ac:dyDescent="0.2">
      <c r="B21" t="s">
        <v>27</v>
      </c>
      <c r="C21">
        <v>16</v>
      </c>
      <c r="D21">
        <f t="shared" si="0"/>
        <v>2</v>
      </c>
      <c r="E21">
        <v>1</v>
      </c>
      <c r="F21">
        <f t="shared" si="1"/>
        <v>2</v>
      </c>
    </row>
    <row r="22" spans="1:6" x14ac:dyDescent="0.2">
      <c r="A22" t="s">
        <v>28</v>
      </c>
      <c r="B22" t="s">
        <v>25</v>
      </c>
      <c r="C22">
        <v>16</v>
      </c>
      <c r="D22">
        <f t="shared" si="0"/>
        <v>2</v>
      </c>
      <c r="E22">
        <v>1</v>
      </c>
      <c r="F22">
        <f t="shared" si="1"/>
        <v>2</v>
      </c>
    </row>
    <row r="23" spans="1:6" x14ac:dyDescent="0.2">
      <c r="B23" t="s">
        <v>26</v>
      </c>
      <c r="C23">
        <v>16</v>
      </c>
      <c r="D23">
        <f t="shared" si="0"/>
        <v>2</v>
      </c>
      <c r="E23">
        <v>1</v>
      </c>
      <c r="F23">
        <f t="shared" si="1"/>
        <v>2</v>
      </c>
    </row>
    <row r="24" spans="1:6" x14ac:dyDescent="0.2">
      <c r="B24" t="s">
        <v>29</v>
      </c>
      <c r="C24">
        <v>16</v>
      </c>
      <c r="D24">
        <f t="shared" si="0"/>
        <v>2</v>
      </c>
      <c r="E24">
        <v>1</v>
      </c>
      <c r="F24">
        <f t="shared" si="1"/>
        <v>2</v>
      </c>
    </row>
    <row r="25" spans="1:6" x14ac:dyDescent="0.2">
      <c r="B25" t="s">
        <v>30</v>
      </c>
      <c r="C25">
        <v>16</v>
      </c>
      <c r="D25">
        <f t="shared" si="0"/>
        <v>2</v>
      </c>
      <c r="E25">
        <v>1</v>
      </c>
      <c r="F25">
        <f t="shared" si="1"/>
        <v>2</v>
      </c>
    </row>
    <row r="26" spans="1:6" x14ac:dyDescent="0.2">
      <c r="B26" t="s">
        <v>49</v>
      </c>
      <c r="C26">
        <v>16</v>
      </c>
      <c r="D26">
        <f t="shared" si="0"/>
        <v>2</v>
      </c>
      <c r="E26">
        <v>8</v>
      </c>
      <c r="F26">
        <f t="shared" si="1"/>
        <v>0.25</v>
      </c>
    </row>
    <row r="27" spans="1:6" x14ac:dyDescent="0.2">
      <c r="A27" t="s">
        <v>31</v>
      </c>
      <c r="B27" t="s">
        <v>35</v>
      </c>
      <c r="C27">
        <v>10</v>
      </c>
      <c r="D27">
        <f t="shared" si="0"/>
        <v>1.25</v>
      </c>
      <c r="E27">
        <v>1</v>
      </c>
      <c r="F27">
        <f t="shared" si="1"/>
        <v>1.25</v>
      </c>
    </row>
    <row r="28" spans="1:6" x14ac:dyDescent="0.2">
      <c r="B28" t="s">
        <v>60</v>
      </c>
      <c r="C28">
        <v>10</v>
      </c>
      <c r="D28">
        <f t="shared" si="0"/>
        <v>1.25</v>
      </c>
      <c r="E28">
        <v>1</v>
      </c>
      <c r="F28">
        <f t="shared" si="1"/>
        <v>1.25</v>
      </c>
    </row>
    <row r="29" spans="1:6" x14ac:dyDescent="0.2">
      <c r="B29" t="s">
        <v>32</v>
      </c>
      <c r="C29">
        <v>12</v>
      </c>
      <c r="D29">
        <f t="shared" si="0"/>
        <v>1.5</v>
      </c>
      <c r="E29">
        <v>1</v>
      </c>
      <c r="F29">
        <f t="shared" si="1"/>
        <v>1.5</v>
      </c>
    </row>
    <row r="30" spans="1:6" x14ac:dyDescent="0.2">
      <c r="B30" t="s">
        <v>33</v>
      </c>
      <c r="C30">
        <v>8</v>
      </c>
      <c r="D30">
        <f t="shared" si="0"/>
        <v>1</v>
      </c>
      <c r="E30">
        <v>1</v>
      </c>
      <c r="F30">
        <f t="shared" si="1"/>
        <v>1</v>
      </c>
    </row>
    <row r="31" spans="1:6" x14ac:dyDescent="0.2">
      <c r="B31" t="s">
        <v>34</v>
      </c>
      <c r="C31">
        <v>10</v>
      </c>
      <c r="D31">
        <f t="shared" si="0"/>
        <v>1.25</v>
      </c>
      <c r="E31">
        <v>1</v>
      </c>
      <c r="F31">
        <f t="shared" si="1"/>
        <v>1.25</v>
      </c>
    </row>
    <row r="32" spans="1:6" x14ac:dyDescent="0.2">
      <c r="B32" t="s">
        <v>36</v>
      </c>
      <c r="C32">
        <v>16</v>
      </c>
      <c r="D32">
        <f t="shared" si="0"/>
        <v>2</v>
      </c>
      <c r="E32">
        <v>8</v>
      </c>
      <c r="F32">
        <f t="shared" si="1"/>
        <v>0.25</v>
      </c>
    </row>
    <row r="33" spans="1:6" x14ac:dyDescent="0.2">
      <c r="B33" t="s">
        <v>36</v>
      </c>
      <c r="C33">
        <v>16</v>
      </c>
      <c r="D33">
        <f t="shared" si="0"/>
        <v>2</v>
      </c>
      <c r="E33">
        <v>8</v>
      </c>
      <c r="F33">
        <f t="shared" si="1"/>
        <v>0.25</v>
      </c>
    </row>
    <row r="34" spans="1:6" x14ac:dyDescent="0.2">
      <c r="B34" t="s">
        <v>37</v>
      </c>
      <c r="C34">
        <v>16</v>
      </c>
      <c r="D34">
        <f t="shared" si="0"/>
        <v>2</v>
      </c>
      <c r="E34">
        <v>8</v>
      </c>
      <c r="F34">
        <f t="shared" si="1"/>
        <v>0.25</v>
      </c>
    </row>
    <row r="35" spans="1:6" x14ac:dyDescent="0.2">
      <c r="B35" t="s">
        <v>38</v>
      </c>
      <c r="C35">
        <v>16</v>
      </c>
      <c r="D35">
        <f t="shared" si="0"/>
        <v>2</v>
      </c>
      <c r="E35">
        <v>8</v>
      </c>
      <c r="F35">
        <f t="shared" si="1"/>
        <v>0.25</v>
      </c>
    </row>
    <row r="36" spans="1:6" x14ac:dyDescent="0.2">
      <c r="A36" t="s">
        <v>39</v>
      </c>
      <c r="B36" t="s">
        <v>40</v>
      </c>
      <c r="C36">
        <v>8</v>
      </c>
      <c r="D36">
        <f t="shared" si="0"/>
        <v>1</v>
      </c>
      <c r="E36">
        <v>8</v>
      </c>
      <c r="F36">
        <f t="shared" si="1"/>
        <v>0.125</v>
      </c>
    </row>
    <row r="37" spans="1:6" x14ac:dyDescent="0.2">
      <c r="B37" t="s">
        <v>41</v>
      </c>
      <c r="C37">
        <v>8</v>
      </c>
      <c r="D37">
        <f t="shared" si="0"/>
        <v>1</v>
      </c>
      <c r="E37">
        <v>8</v>
      </c>
      <c r="F37">
        <f t="shared" si="1"/>
        <v>0.125</v>
      </c>
    </row>
    <row r="38" spans="1:6" x14ac:dyDescent="0.2">
      <c r="B38" t="s">
        <v>42</v>
      </c>
      <c r="C38">
        <v>8</v>
      </c>
      <c r="D38">
        <f t="shared" si="0"/>
        <v>1</v>
      </c>
      <c r="E38">
        <v>8</v>
      </c>
      <c r="F38">
        <f t="shared" si="1"/>
        <v>0.125</v>
      </c>
    </row>
    <row r="39" spans="1:6" x14ac:dyDescent="0.2">
      <c r="B39" t="s">
        <v>44</v>
      </c>
      <c r="C39">
        <v>8</v>
      </c>
      <c r="D39">
        <f t="shared" si="0"/>
        <v>1</v>
      </c>
      <c r="E39">
        <v>8</v>
      </c>
      <c r="F39">
        <f t="shared" si="1"/>
        <v>0.125</v>
      </c>
    </row>
    <row r="40" spans="1:6" x14ac:dyDescent="0.2">
      <c r="B40" t="s">
        <v>43</v>
      </c>
      <c r="C40">
        <v>12</v>
      </c>
      <c r="D40">
        <f t="shared" si="0"/>
        <v>1.5</v>
      </c>
      <c r="E40">
        <v>8</v>
      </c>
      <c r="F40">
        <f t="shared" si="1"/>
        <v>0.1875</v>
      </c>
    </row>
    <row r="41" spans="1:6" x14ac:dyDescent="0.2">
      <c r="B41" t="s">
        <v>54</v>
      </c>
      <c r="C41">
        <v>8</v>
      </c>
      <c r="D41">
        <f t="shared" si="0"/>
        <v>1</v>
      </c>
      <c r="E41">
        <v>8</v>
      </c>
      <c r="F41">
        <f t="shared" si="1"/>
        <v>0.125</v>
      </c>
    </row>
    <row r="42" spans="1:6" x14ac:dyDescent="0.2">
      <c r="B42" t="s">
        <v>45</v>
      </c>
      <c r="C42">
        <v>8</v>
      </c>
      <c r="D42">
        <f t="shared" si="0"/>
        <v>1</v>
      </c>
      <c r="E42">
        <v>8</v>
      </c>
      <c r="F42">
        <f t="shared" si="1"/>
        <v>0.125</v>
      </c>
    </row>
    <row r="43" spans="1:6" x14ac:dyDescent="0.2">
      <c r="B43" t="s">
        <v>46</v>
      </c>
      <c r="C43">
        <v>8</v>
      </c>
      <c r="D43">
        <f t="shared" si="0"/>
        <v>1</v>
      </c>
      <c r="E43">
        <v>8</v>
      </c>
      <c r="F43">
        <f t="shared" si="1"/>
        <v>0.125</v>
      </c>
    </row>
    <row r="44" spans="1:6" x14ac:dyDescent="0.2">
      <c r="B44" t="s">
        <v>47</v>
      </c>
      <c r="C44">
        <v>8</v>
      </c>
      <c r="D44">
        <f t="shared" si="0"/>
        <v>1</v>
      </c>
      <c r="E44">
        <v>8</v>
      </c>
      <c r="F44">
        <f t="shared" si="1"/>
        <v>0.125</v>
      </c>
    </row>
    <row r="45" spans="1:6" x14ac:dyDescent="0.2">
      <c r="B45" t="s">
        <v>57</v>
      </c>
      <c r="C45">
        <v>16</v>
      </c>
      <c r="D45">
        <f t="shared" si="0"/>
        <v>2</v>
      </c>
      <c r="E45">
        <v>8</v>
      </c>
      <c r="F45">
        <f t="shared" si="1"/>
        <v>0.25</v>
      </c>
    </row>
    <row r="46" spans="1:6" x14ac:dyDescent="0.2">
      <c r="B46" t="s">
        <v>48</v>
      </c>
      <c r="C46">
        <v>4</v>
      </c>
      <c r="D46">
        <f t="shared" si="0"/>
        <v>0.5</v>
      </c>
      <c r="E46">
        <v>8</v>
      </c>
      <c r="F46">
        <f t="shared" si="1"/>
        <v>6.25E-2</v>
      </c>
    </row>
    <row r="47" spans="1:6" x14ac:dyDescent="0.2">
      <c r="B47" t="s">
        <v>56</v>
      </c>
      <c r="C47">
        <v>4</v>
      </c>
      <c r="D47">
        <f t="shared" si="0"/>
        <v>0.5</v>
      </c>
      <c r="E47">
        <v>1</v>
      </c>
      <c r="F47">
        <f t="shared" si="1"/>
        <v>0.5</v>
      </c>
    </row>
    <row r="55" spans="4:6" x14ac:dyDescent="0.2">
      <c r="D55" t="s">
        <v>50</v>
      </c>
      <c r="F55">
        <f>SUM(F5:F53)</f>
        <v>38</v>
      </c>
    </row>
    <row r="56" spans="4:6" x14ac:dyDescent="0.2">
      <c r="D56" t="s">
        <v>51</v>
      </c>
      <c r="F56">
        <f>F55*B2</f>
        <v>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Kalnajs</dc:creator>
  <cp:lastModifiedBy>Lars Kalnajs</cp:lastModifiedBy>
  <dcterms:created xsi:type="dcterms:W3CDTF">2026-03-31T20:02:07Z</dcterms:created>
  <dcterms:modified xsi:type="dcterms:W3CDTF">2026-04-07T20:20:51Z</dcterms:modified>
</cp:coreProperties>
</file>